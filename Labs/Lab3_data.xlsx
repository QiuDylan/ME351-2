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ylanqiu/Desktop/Cooper_Files/Fall '25/ME351-2/ME351-2/Labs/"/>
    </mc:Choice>
  </mc:AlternateContent>
  <xr:revisionPtr revIDLastSave="0" documentId="13_ncr:1_{D136027B-3E59-D743-8007-A53C63201705}" xr6:coauthVersionLast="47" xr6:coauthVersionMax="47" xr10:uidLastSave="{00000000-0000-0000-0000-000000000000}"/>
  <bookViews>
    <workbookView xWindow="1100" yWindow="820" windowWidth="28040" windowHeight="17440" xr2:uid="{F09A9297-537F-EC4E-A37F-EACE9A528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H5" i="1" s="1"/>
  <c r="G6" i="1"/>
  <c r="G7" i="1"/>
  <c r="H7" i="1" s="1"/>
  <c r="G8" i="1"/>
  <c r="G9" i="1"/>
  <c r="H9" i="1" s="1"/>
  <c r="G10" i="1"/>
  <c r="G11" i="1"/>
  <c r="G4" i="1"/>
  <c r="F11" i="1"/>
  <c r="F10" i="1"/>
  <c r="F9" i="1"/>
  <c r="F8" i="1"/>
  <c r="F7" i="1"/>
  <c r="F6" i="1"/>
  <c r="D6" i="1"/>
  <c r="E6" i="1" s="1"/>
  <c r="D7" i="1"/>
  <c r="E7" i="1" s="1"/>
  <c r="D8" i="1"/>
  <c r="E8" i="1" s="1"/>
  <c r="D9" i="1"/>
  <c r="E9" i="1" s="1"/>
  <c r="D10" i="1"/>
  <c r="E10" i="1" s="1"/>
  <c r="D11" i="1"/>
  <c r="E11" i="1" s="1"/>
  <c r="H8" i="1"/>
  <c r="F5" i="1"/>
  <c r="E4" i="1"/>
  <c r="D5" i="1"/>
  <c r="E5" i="1" s="1"/>
  <c r="H10" i="1" l="1"/>
  <c r="H11" i="1"/>
  <c r="H6" i="1"/>
</calcChain>
</file>

<file path=xl/sharedStrings.xml><?xml version="1.0" encoding="utf-8"?>
<sst xmlns="http://schemas.openxmlformats.org/spreadsheetml/2006/main" count="13" uniqueCount="12">
  <si>
    <t>Input voltage frequency (rad/s)</t>
  </si>
  <si>
    <t>Input voltage (V)</t>
  </si>
  <si>
    <t>Angular velocity</t>
  </si>
  <si>
    <t>amplitude response</t>
  </si>
  <si>
    <t xml:space="preserve"> (rad/s)</t>
  </si>
  <si>
    <t>Motor gain magnitude</t>
  </si>
  <si>
    <t>(rad/s)/V</t>
  </si>
  <si>
    <t>(dB)</t>
  </si>
  <si>
    <t xml:space="preserve">Phase lag </t>
  </si>
  <si>
    <t>(s)</t>
  </si>
  <si>
    <t>Phase (rad)</t>
  </si>
  <si>
    <t>Phase (degrees)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</si>
</sst>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2" fontId="2" fillId="0" borderId="6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0C19C-6CAB-E243-9C62-50F75486C213}">
  <dimension ref="A1:H11"/>
  <sheetViews>
    <sheetView tabSelected="1" workbookViewId="0">
      <selection activeCell="H4" sqref="H4:H11"/>
    </sheetView>
  </sheetViews>
  <sheetFormatPr baseColWidth="10" defaultRowHeight="16" x14ac:dyDescent="0.2"/>
  <cols>
    <col min="1" max="1" width="21.33203125" customWidth="1"/>
    <col min="2" max="2" width="15.33203125" customWidth="1"/>
    <col min="3" max="3" width="17.5" customWidth="1"/>
    <col min="4" max="4" width="15" customWidth="1"/>
    <col min="7" max="7" width="15.33203125" customWidth="1"/>
  </cols>
  <sheetData>
    <row r="1" spans="1:8" x14ac:dyDescent="0.2">
      <c r="A1" s="8" t="s">
        <v>0</v>
      </c>
      <c r="B1" s="8" t="s">
        <v>1</v>
      </c>
      <c r="C1" s="1" t="s">
        <v>2</v>
      </c>
      <c r="D1" s="1" t="s">
        <v>5</v>
      </c>
      <c r="E1" s="1" t="s">
        <v>5</v>
      </c>
      <c r="F1" s="1" t="s">
        <v>8</v>
      </c>
      <c r="G1" s="8" t="s">
        <v>10</v>
      </c>
      <c r="H1" s="8" t="s">
        <v>11</v>
      </c>
    </row>
    <row r="2" spans="1:8" x14ac:dyDescent="0.2">
      <c r="A2" s="9"/>
      <c r="B2" s="9"/>
      <c r="C2" s="2" t="s">
        <v>3</v>
      </c>
      <c r="D2" s="2" t="s">
        <v>6</v>
      </c>
      <c r="E2" s="2" t="s">
        <v>7</v>
      </c>
      <c r="F2" s="2" t="s">
        <v>9</v>
      </c>
      <c r="G2" s="9"/>
      <c r="H2" s="9"/>
    </row>
    <row r="3" spans="1:8" ht="17" thickBot="1" x14ac:dyDescent="0.25">
      <c r="A3" s="10"/>
      <c r="B3" s="10"/>
      <c r="C3" s="3" t="s">
        <v>4</v>
      </c>
      <c r="D3" s="4"/>
      <c r="E3" s="4"/>
      <c r="F3" s="4"/>
      <c r="G3" s="10"/>
      <c r="H3" s="10"/>
    </row>
    <row r="4" spans="1:8" ht="17" thickBot="1" x14ac:dyDescent="0.25">
      <c r="A4" s="5">
        <v>0.5</v>
      </c>
      <c r="B4" s="6">
        <v>6</v>
      </c>
      <c r="C4" s="7">
        <v>160.5</v>
      </c>
      <c r="D4" s="11">
        <v>26.75</v>
      </c>
      <c r="E4" s="11">
        <f>20*LOG(D4)</f>
        <v>28.546475727144944</v>
      </c>
      <c r="F4" s="11">
        <v>-7.5999999999999998E-2</v>
      </c>
      <c r="G4" s="11">
        <f>F4*A4</f>
        <v>-3.7999999999999999E-2</v>
      </c>
      <c r="H4" s="11">
        <v>-2.06</v>
      </c>
    </row>
    <row r="5" spans="1:8" ht="17" thickBot="1" x14ac:dyDescent="0.25">
      <c r="A5" s="5">
        <v>1</v>
      </c>
      <c r="B5" s="6">
        <v>6</v>
      </c>
      <c r="C5" s="7">
        <v>160</v>
      </c>
      <c r="D5" s="11">
        <f>C5/B5</f>
        <v>26.666666666666668</v>
      </c>
      <c r="E5" s="11">
        <f t="shared" ref="E5:E11" si="0">20*LOG(D5)</f>
        <v>28.519374645445623</v>
      </c>
      <c r="F5" s="11">
        <f>1.557-1.689</f>
        <v>-0.13200000000000012</v>
      </c>
      <c r="G5" s="11">
        <f t="shared" ref="G5:G11" si="1">F5*A5</f>
        <v>-0.13200000000000012</v>
      </c>
      <c r="H5" s="11">
        <f>G5*180/PI()</f>
        <v>-7.5630428957268725</v>
      </c>
    </row>
    <row r="6" spans="1:8" ht="17" thickBot="1" x14ac:dyDescent="0.25">
      <c r="A6" s="5">
        <v>2</v>
      </c>
      <c r="B6" s="6">
        <v>6</v>
      </c>
      <c r="C6" s="7">
        <v>155.19999999999999</v>
      </c>
      <c r="D6" s="11">
        <f t="shared" ref="D6:D11" si="2">C6/B6</f>
        <v>25.866666666666664</v>
      </c>
      <c r="E6" s="11">
        <f t="shared" si="0"/>
        <v>28.25480933077052</v>
      </c>
      <c r="F6" s="11">
        <f>0.781-0.923</f>
        <v>-0.14200000000000002</v>
      </c>
      <c r="G6" s="11">
        <f t="shared" si="1"/>
        <v>-0.28400000000000003</v>
      </c>
      <c r="H6" s="11">
        <f t="shared" ref="H6:H11" si="3">G6*180/PI()</f>
        <v>-16.272001381715381</v>
      </c>
    </row>
    <row r="7" spans="1:8" ht="17" thickBot="1" x14ac:dyDescent="0.25">
      <c r="A7" s="5">
        <v>5</v>
      </c>
      <c r="B7" s="6">
        <v>6</v>
      </c>
      <c r="C7" s="7">
        <v>132.6</v>
      </c>
      <c r="D7" s="11">
        <f t="shared" si="2"/>
        <v>22.099999999999998</v>
      </c>
      <c r="E7" s="11">
        <f t="shared" si="0"/>
        <v>26.887845473702214</v>
      </c>
      <c r="F7" s="11">
        <f>2.825-2.964</f>
        <v>-0.13899999999999979</v>
      </c>
      <c r="G7" s="11">
        <f t="shared" si="1"/>
        <v>-0.69499999999999895</v>
      </c>
      <c r="H7" s="11">
        <f t="shared" si="3"/>
        <v>-39.820566761592154</v>
      </c>
    </row>
    <row r="8" spans="1:8" ht="17" thickBot="1" x14ac:dyDescent="0.25">
      <c r="A8" s="5">
        <v>10</v>
      </c>
      <c r="B8" s="6">
        <v>6</v>
      </c>
      <c r="C8" s="7">
        <v>97.83</v>
      </c>
      <c r="D8" s="11">
        <f t="shared" si="2"/>
        <v>16.305</v>
      </c>
      <c r="E8" s="11">
        <f t="shared" si="0"/>
        <v>24.246416062839518</v>
      </c>
      <c r="F8" s="11">
        <f>3.296-3.4</f>
        <v>-0.10400000000000009</v>
      </c>
      <c r="G8" s="11">
        <f t="shared" si="1"/>
        <v>-1.0400000000000009</v>
      </c>
      <c r="H8" s="11">
        <f t="shared" si="3"/>
        <v>-59.587610693605669</v>
      </c>
    </row>
    <row r="9" spans="1:8" ht="17" thickBot="1" x14ac:dyDescent="0.25">
      <c r="A9" s="5">
        <v>20</v>
      </c>
      <c r="B9" s="6">
        <v>6</v>
      </c>
      <c r="C9" s="7">
        <v>58.1</v>
      </c>
      <c r="D9" s="11">
        <f t="shared" si="2"/>
        <v>9.6833333333333336</v>
      </c>
      <c r="E9" s="11">
        <f t="shared" si="0"/>
        <v>19.720497640133743</v>
      </c>
      <c r="F9" s="11">
        <f>1.334-1.406</f>
        <v>-7.1999999999999842E-2</v>
      </c>
      <c r="G9" s="11">
        <f t="shared" si="1"/>
        <v>-1.4399999999999968</v>
      </c>
      <c r="H9" s="11">
        <f t="shared" si="3"/>
        <v>-82.505922498838359</v>
      </c>
    </row>
    <row r="10" spans="1:8" ht="17" thickBot="1" x14ac:dyDescent="0.25">
      <c r="A10" s="5">
        <v>50</v>
      </c>
      <c r="B10" s="6">
        <v>6</v>
      </c>
      <c r="C10" s="7">
        <v>22.69</v>
      </c>
      <c r="D10" s="11">
        <f t="shared" si="2"/>
        <v>3.7816666666666667</v>
      </c>
      <c r="E10" s="11">
        <f t="shared" si="0"/>
        <v>11.553664910025848</v>
      </c>
      <c r="F10" s="11">
        <f>1.162-1.202</f>
        <v>-4.0000000000000036E-2</v>
      </c>
      <c r="G10" s="11">
        <f t="shared" si="1"/>
        <v>-2.0000000000000018</v>
      </c>
      <c r="H10" s="11">
        <f t="shared" si="3"/>
        <v>-114.59155902616476</v>
      </c>
    </row>
    <row r="11" spans="1:8" ht="17" thickBot="1" x14ac:dyDescent="0.25">
      <c r="A11" s="5">
        <v>100</v>
      </c>
      <c r="B11" s="6">
        <v>6</v>
      </c>
      <c r="C11" s="7">
        <v>8.56</v>
      </c>
      <c r="D11" s="11">
        <f t="shared" si="2"/>
        <v>1.4266666666666667</v>
      </c>
      <c r="E11" s="11">
        <f t="shared" si="0"/>
        <v>3.0864502858701925</v>
      </c>
      <c r="F11" s="11">
        <f>3.596-3.62</f>
        <v>-2.4000000000000021E-2</v>
      </c>
      <c r="G11" s="11">
        <f t="shared" si="1"/>
        <v>-2.4000000000000021</v>
      </c>
      <c r="H11" s="11">
        <f t="shared" si="3"/>
        <v>-137.50987083139771</v>
      </c>
    </row>
  </sheetData>
  <mergeCells count="4">
    <mergeCell ref="A1:A3"/>
    <mergeCell ref="B1:B3"/>
    <mergeCell ref="G1:G3"/>
    <mergeCell ref="H1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Qiu</dc:creator>
  <cp:lastModifiedBy>Dylan Qiu</cp:lastModifiedBy>
  <dcterms:created xsi:type="dcterms:W3CDTF">2025-10-24T14:45:51Z</dcterms:created>
  <dcterms:modified xsi:type="dcterms:W3CDTF">2025-10-24T15:42:13Z</dcterms:modified>
</cp:coreProperties>
</file>